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725CDD9-167F-44B6-A61E-04A1023E1C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ring Inverter ROI Sheet" sheetId="3" r:id="rId1"/>
  </sheets>
  <definedNames>
    <definedName name="_xlnm.Print_Area" localSheetId="0">'String Inverter ROI Sheet'!$A$1:$Q$63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3" l="1"/>
  <c r="M6" i="3"/>
  <c r="M7" i="3" s="1"/>
  <c r="M5" i="3"/>
  <c r="M25" i="3" s="1"/>
  <c r="E15" i="3"/>
  <c r="C25" i="3" s="1"/>
  <c r="E25" i="3" s="1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M17" i="3"/>
  <c r="E21" i="3"/>
  <c r="I26" i="3" s="1"/>
  <c r="I27" i="3" s="1"/>
  <c r="E16" i="3" l="1"/>
  <c r="K25" i="3"/>
  <c r="I28" i="3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D9" i="3"/>
  <c r="D10" i="3" s="1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D11" i="3" l="1"/>
  <c r="M11" i="3"/>
  <c r="C26" i="3"/>
  <c r="E26" i="3" l="1"/>
  <c r="K26" i="3"/>
  <c r="M13" i="3"/>
  <c r="M14" i="3" s="1"/>
  <c r="O25" i="3"/>
  <c r="C27" i="3"/>
  <c r="I50" i="3"/>
  <c r="E27" i="3" l="1"/>
  <c r="K27" i="3"/>
  <c r="M12" i="3"/>
  <c r="C28" i="3"/>
  <c r="E28" i="3" l="1"/>
  <c r="K28" i="3"/>
  <c r="M26" i="3"/>
  <c r="O26" i="3" s="1"/>
  <c r="C29" i="3"/>
  <c r="M27" i="3"/>
  <c r="G50" i="3"/>
  <c r="O28" i="3" l="1"/>
  <c r="E29" i="3"/>
  <c r="K29" i="3"/>
  <c r="M50" i="3"/>
  <c r="O27" i="3"/>
  <c r="C30" i="3"/>
  <c r="E30" i="3" l="1"/>
  <c r="K30" i="3"/>
  <c r="C31" i="3"/>
  <c r="O29" i="3"/>
  <c r="O30" i="3" l="1"/>
  <c r="E31" i="3"/>
  <c r="K31" i="3"/>
  <c r="C32" i="3"/>
  <c r="O31" i="3" l="1"/>
  <c r="E32" i="3"/>
  <c r="K32" i="3"/>
  <c r="C33" i="3"/>
  <c r="O32" i="3" l="1"/>
  <c r="E33" i="3"/>
  <c r="K33" i="3"/>
  <c r="C34" i="3"/>
  <c r="O33" i="3" l="1"/>
  <c r="E34" i="3"/>
  <c r="K34" i="3"/>
  <c r="O34" i="3"/>
  <c r="C35" i="3"/>
  <c r="E35" i="3" l="1"/>
  <c r="K35" i="3"/>
  <c r="C36" i="3"/>
  <c r="O35" i="3" l="1"/>
  <c r="E36" i="3"/>
  <c r="O36" i="3" s="1"/>
  <c r="K36" i="3"/>
  <c r="C37" i="3"/>
  <c r="E37" i="3" l="1"/>
  <c r="O37" i="3" s="1"/>
  <c r="K37" i="3"/>
  <c r="C38" i="3"/>
  <c r="E38" i="3" l="1"/>
  <c r="K38" i="3"/>
  <c r="C39" i="3"/>
  <c r="O38" i="3" l="1"/>
  <c r="E39" i="3"/>
  <c r="O39" i="3" s="1"/>
  <c r="K39" i="3"/>
  <c r="C40" i="3"/>
  <c r="E40" i="3" l="1"/>
  <c r="K40" i="3"/>
  <c r="C41" i="3"/>
  <c r="O40" i="3" l="1"/>
  <c r="E41" i="3"/>
  <c r="O41" i="3" s="1"/>
  <c r="K41" i="3"/>
  <c r="C42" i="3"/>
  <c r="E42" i="3" l="1"/>
  <c r="K42" i="3"/>
  <c r="C43" i="3"/>
  <c r="O42" i="3" l="1"/>
  <c r="E43" i="3"/>
  <c r="O43" i="3" s="1"/>
  <c r="K43" i="3"/>
  <c r="C44" i="3"/>
  <c r="E44" i="3" l="1"/>
  <c r="K44" i="3"/>
  <c r="C45" i="3"/>
  <c r="O44" i="3"/>
  <c r="E45" i="3" l="1"/>
  <c r="K45" i="3"/>
  <c r="O45" i="3"/>
  <c r="C46" i="3"/>
  <c r="E46" i="3" l="1"/>
  <c r="K46" i="3"/>
  <c r="O46" i="3"/>
  <c r="C47" i="3"/>
  <c r="E47" i="3" l="1"/>
  <c r="K47" i="3"/>
  <c r="C48" i="3"/>
  <c r="O47" i="3" l="1"/>
  <c r="E48" i="3"/>
  <c r="K48" i="3"/>
  <c r="C49" i="3"/>
  <c r="O48" i="3" l="1"/>
  <c r="E49" i="3"/>
  <c r="E50" i="3" s="1"/>
  <c r="K49" i="3"/>
  <c r="C50" i="3"/>
  <c r="K50" i="3" s="1"/>
  <c r="O49" i="3" l="1"/>
  <c r="O50" i="3"/>
</calcChain>
</file>

<file path=xl/sharedStrings.xml><?xml version="1.0" encoding="utf-8"?>
<sst xmlns="http://schemas.openxmlformats.org/spreadsheetml/2006/main" count="84" uniqueCount="76">
  <si>
    <t xml:space="preserve">Accelerated Depreciation Benefits </t>
  </si>
  <si>
    <t xml:space="preserve">Client </t>
  </si>
  <si>
    <t xml:space="preserve">Project Location </t>
  </si>
  <si>
    <t>Project Size (KW)</t>
  </si>
  <si>
    <t>Cost per KW ex GST</t>
  </si>
  <si>
    <t xml:space="preserve">Total </t>
  </si>
  <si>
    <t>Project Cost ex GST</t>
  </si>
  <si>
    <t>Total Project Cost inc GST</t>
  </si>
  <si>
    <t>Client's current grid traiff /unit</t>
  </si>
  <si>
    <t xml:space="preserve">Plant Performance </t>
  </si>
  <si>
    <t>Average Annual Generation (KW)</t>
  </si>
  <si>
    <t xml:space="preserve">Monthly Payments </t>
  </si>
  <si>
    <t xml:space="preserve">Average Monthly Generation (KW) </t>
  </si>
  <si>
    <t>Total Plant cost inc Interest</t>
  </si>
  <si>
    <t xml:space="preserve">Estimated Year-on-Year degradation </t>
  </si>
  <si>
    <t xml:space="preserve">O&amp;M Cost </t>
  </si>
  <si>
    <t xml:space="preserve">Please scroll down </t>
  </si>
  <si>
    <t xml:space="preserve">Cost per KW of maintanance </t>
  </si>
  <si>
    <t xml:space="preserve">Total Cost per year </t>
  </si>
  <si>
    <t xml:space="preserve">Yearly escalation in O&amp;M Cost </t>
  </si>
  <si>
    <t xml:space="preserve">Period </t>
  </si>
  <si>
    <t xml:space="preserve">Unit Generation </t>
  </si>
  <si>
    <t xml:space="preserve">Cost via Grid </t>
  </si>
  <si>
    <t>Solar Plant EMIs</t>
  </si>
  <si>
    <t xml:space="preserve">AD Benefit </t>
  </si>
  <si>
    <t xml:space="preserve">Savings via Solar 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</si>
  <si>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</si>
  <si>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</si>
  <si>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</si>
  <si>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</si>
  <si>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</si>
  <si>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</si>
  <si>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</si>
  <si>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</si>
  <si>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</si>
  <si>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</si>
  <si>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</si>
  <si>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</si>
  <si>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</si>
  <si>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</si>
  <si>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</si>
  <si>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</si>
  <si>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</si>
  <si>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</si>
  <si>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</si>
  <si>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</si>
  <si>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</si>
  <si>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</si>
  <si>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</si>
  <si>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</si>
  <si>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</si>
  <si>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Total over 25 years</t>
  </si>
  <si>
    <t>•</t>
  </si>
  <si>
    <t xml:space="preserve">The generation numbers are estimated as per current weather data and will change as per actual weather conditions. </t>
  </si>
  <si>
    <t>The savings shown are based on continuous consumption of the generated power by the client.</t>
  </si>
  <si>
    <t xml:space="preserve">Any change in government net-metering policy or otherwise may affect the savings, and are out of our control. </t>
  </si>
  <si>
    <t xml:space="preserve">Any O&amp;M cost incurred during the plant life will be extra, which isn't calculated in the table. </t>
  </si>
  <si>
    <t xml:space="preserve">Furthermore, any unexpected damage due to natural disaster is not factored in the calculations. </t>
  </si>
  <si>
    <t>Client Evaluation Sheet for Capex Model</t>
  </si>
  <si>
    <t>Cost Via Grid</t>
  </si>
  <si>
    <t>ROI in Years</t>
  </si>
  <si>
    <t>Return On Investment (ROI) Calculation</t>
  </si>
  <si>
    <t xml:space="preserve">Project Specification </t>
  </si>
  <si>
    <t>subsidy</t>
  </si>
  <si>
    <t xml:space="preserve">0.40 - 0.60% </t>
  </si>
  <si>
    <t xml:space="preserve">A standard generation reduction of 0.60% year-on-year is applied for further accuracy </t>
  </si>
  <si>
    <t xml:space="preserve">GST @8.9% </t>
  </si>
  <si>
    <t xml:space="preserve">GSC Charges </t>
  </si>
  <si>
    <t xml:space="preserve">  21.44rs</t>
  </si>
  <si>
    <t>28830+</t>
  </si>
  <si>
    <t>THANE</t>
  </si>
  <si>
    <t>MANHATTEN ROSSA</t>
  </si>
  <si>
    <t>1st year - 25% tax savings on 40% depreciation</t>
  </si>
  <si>
    <t>2nd year - 25% tax savings on 40% depreciation</t>
  </si>
  <si>
    <t>3rd year - 25% tax savings  on 20% depreciation</t>
  </si>
  <si>
    <r>
      <t>The estimates provided in the above table are subject to the following conditions</t>
    </r>
    <r>
      <rPr>
        <sz val="22"/>
        <color rgb="FF002060"/>
        <rFont val="Cambria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</si>
</sst>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 * #,##0.00_ ;_ * \-#,##0.00_ ;_ * &quot;-&quot;???_ ;_ @_ "/>
    <numFmt numFmtId="166" formatCode="_ &quot;₹&quot;\ * #,##0_ ;_ &quot;₹&quot;\ * \-#,##0_ ;_ &quot;₹&quot;\ * &quot;-&quot;??_ ;_ @_ "/>
    <numFmt numFmtId="167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002060"/>
      <name val="Cambria"/>
      <family val="1"/>
    </font>
    <font>
      <sz val="22"/>
      <color theme="1"/>
      <name val="Cambria"/>
      <family val="1"/>
    </font>
    <font>
      <b/>
      <sz val="22"/>
      <color theme="0"/>
      <name val="Cambria"/>
      <family val="1"/>
    </font>
    <font>
      <sz val="22"/>
      <color rgb="FF002060"/>
      <name val="Cambria"/>
      <family val="1"/>
    </font>
    <font>
      <u/>
      <sz val="22"/>
      <color rgb="FF00206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3" borderId="0" xfId="0" applyFont="1" applyFill="1"/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 vertical="center"/>
    </xf>
    <xf numFmtId="44" fontId="5" fillId="5" borderId="0" xfId="2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44" fontId="5" fillId="0" borderId="0" xfId="2" applyFont="1" applyFill="1" applyBorder="1" applyAlignment="1">
      <alignment horizontal="center"/>
    </xf>
    <xf numFmtId="2" fontId="5" fillId="5" borderId="0" xfId="0" applyNumberFormat="1" applyFont="1" applyFill="1" applyAlignment="1">
      <alignment horizontal="right"/>
    </xf>
    <xf numFmtId="164" fontId="3" fillId="0" borderId="0" xfId="0" applyNumberFormat="1" applyFont="1"/>
    <xf numFmtId="0" fontId="5" fillId="6" borderId="0" xfId="0" applyFont="1" applyFill="1" applyAlignment="1">
      <alignment horizontal="left"/>
    </xf>
    <xf numFmtId="166" fontId="5" fillId="6" borderId="0" xfId="2" applyNumberFormat="1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44" fontId="2" fillId="0" borderId="1" xfId="2" applyFont="1" applyBorder="1" applyAlignment="1">
      <alignment horizontal="center"/>
    </xf>
    <xf numFmtId="166" fontId="5" fillId="5" borderId="0" xfId="2" applyNumberFormat="1" applyFont="1" applyFill="1" applyAlignment="1">
      <alignment horizontal="center"/>
    </xf>
    <xf numFmtId="166" fontId="5" fillId="0" borderId="0" xfId="2" applyNumberFormat="1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166" fontId="5" fillId="5" borderId="0" xfId="2" applyNumberFormat="1" applyFont="1" applyFill="1" applyBorder="1" applyAlignment="1">
      <alignment horizontal="center"/>
    </xf>
    <xf numFmtId="0" fontId="5" fillId="3" borderId="0" xfId="0" applyFont="1" applyFill="1" applyAlignment="1">
      <alignment horizontal="left" vertical="center"/>
    </xf>
    <xf numFmtId="44" fontId="5" fillId="3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44" fontId="5" fillId="0" borderId="1" xfId="2" applyFont="1" applyBorder="1" applyAlignment="1">
      <alignment horizontal="center"/>
    </xf>
    <xf numFmtId="10" fontId="5" fillId="5" borderId="0" xfId="0" applyNumberFormat="1" applyFont="1" applyFill="1" applyAlignment="1">
      <alignment horizontal="left"/>
    </xf>
    <xf numFmtId="44" fontId="5" fillId="5" borderId="0" xfId="2" applyFont="1" applyFill="1" applyAlignment="1">
      <alignment horizontal="center" vertical="center"/>
    </xf>
    <xf numFmtId="44" fontId="5" fillId="3" borderId="0" xfId="0" applyNumberFormat="1" applyFont="1" applyFill="1" applyAlignment="1">
      <alignment horizontal="right" vertical="center"/>
    </xf>
    <xf numFmtId="10" fontId="5" fillId="3" borderId="0" xfId="0" applyNumberFormat="1" applyFont="1" applyFill="1" applyAlignment="1">
      <alignment horizontal="right" vertical="center"/>
    </xf>
    <xf numFmtId="2" fontId="5" fillId="5" borderId="0" xfId="0" applyNumberFormat="1" applyFont="1" applyFill="1" applyAlignment="1">
      <alignment horizontal="right" vertical="center"/>
    </xf>
    <xf numFmtId="167" fontId="5" fillId="5" borderId="0" xfId="1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166" fontId="5" fillId="3" borderId="0" xfId="2" applyNumberFormat="1" applyFont="1" applyFill="1" applyAlignment="1">
      <alignment horizontal="center" vertical="center"/>
    </xf>
    <xf numFmtId="0" fontId="2" fillId="5" borderId="2" xfId="0" applyFont="1" applyFill="1" applyBorder="1" applyAlignment="1">
      <alignment horizontal="left"/>
    </xf>
    <xf numFmtId="44" fontId="2" fillId="5" borderId="2" xfId="2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right"/>
    </xf>
    <xf numFmtId="0" fontId="5" fillId="3" borderId="0" xfId="0" applyFont="1" applyFill="1"/>
    <xf numFmtId="0" fontId="2" fillId="3" borderId="0" xfId="0" applyFont="1" applyFill="1" applyAlignment="1">
      <alignment horizontal="center" vertical="center" wrapText="1"/>
    </xf>
    <xf numFmtId="4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0" fontId="5" fillId="5" borderId="0" xfId="3" applyNumberFormat="1" applyFont="1" applyFill="1" applyBorder="1" applyAlignment="1">
      <alignment horizontal="right"/>
    </xf>
    <xf numFmtId="0" fontId="5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44" fontId="5" fillId="0" borderId="0" xfId="2" applyFont="1" applyBorder="1" applyAlignment="1">
      <alignment horizontal="center"/>
    </xf>
    <xf numFmtId="44" fontId="5" fillId="0" borderId="0" xfId="0" applyNumberFormat="1" applyFont="1" applyAlignment="1">
      <alignment horizontal="center"/>
    </xf>
    <xf numFmtId="44" fontId="5" fillId="5" borderId="0" xfId="0" applyNumberFormat="1" applyFont="1" applyFill="1" applyAlignment="1">
      <alignment horizontal="center"/>
    </xf>
    <xf numFmtId="44" fontId="3" fillId="0" borderId="0" xfId="0" applyNumberFormat="1" applyFont="1"/>
    <xf numFmtId="0" fontId="5" fillId="0" borderId="2" xfId="0" applyFont="1" applyBorder="1" applyAlignment="1">
      <alignment horizontal="center"/>
    </xf>
    <xf numFmtId="165" fontId="5" fillId="5" borderId="2" xfId="0" applyNumberFormat="1" applyFont="1" applyFill="1" applyBorder="1" applyAlignment="1">
      <alignment horizontal="center"/>
    </xf>
    <xf numFmtId="44" fontId="5" fillId="0" borderId="2" xfId="2" applyFont="1" applyBorder="1" applyAlignment="1">
      <alignment horizontal="center"/>
    </xf>
    <xf numFmtId="44" fontId="5" fillId="5" borderId="2" xfId="2" applyFont="1" applyFill="1" applyBorder="1" applyAlignment="1">
      <alignment horizontal="center"/>
    </xf>
    <xf numFmtId="44" fontId="5" fillId="0" borderId="2" xfId="0" applyNumberFormat="1" applyFont="1" applyBorder="1" applyAlignment="1">
      <alignment horizontal="center"/>
    </xf>
    <xf numFmtId="44" fontId="5" fillId="0" borderId="2" xfId="2" applyFont="1" applyFill="1" applyBorder="1" applyAlignment="1">
      <alignment horizontal="center"/>
    </xf>
    <xf numFmtId="165" fontId="5" fillId="5" borderId="0" xfId="0" applyNumberFormat="1" applyFont="1" applyFill="1" applyAlignment="1">
      <alignment horizontal="center"/>
    </xf>
    <xf numFmtId="44" fontId="5" fillId="5" borderId="3" xfId="0" applyNumberFormat="1" applyFont="1" applyFill="1" applyBorder="1" applyAlignment="1">
      <alignment horizontal="center"/>
    </xf>
    <xf numFmtId="44" fontId="5" fillId="0" borderId="3" xfId="0" applyNumberFormat="1" applyFont="1" applyBorder="1" applyAlignment="1">
      <alignment horizontal="center"/>
    </xf>
    <xf numFmtId="44" fontId="5" fillId="0" borderId="3" xfId="2" applyFont="1" applyFill="1" applyBorder="1" applyAlignment="1">
      <alignment horizontal="center"/>
    </xf>
    <xf numFmtId="44" fontId="5" fillId="5" borderId="2" xfId="0" applyNumberFormat="1" applyFont="1" applyFill="1" applyBorder="1" applyAlignment="1">
      <alignment horizontal="center"/>
    </xf>
    <xf numFmtId="44" fontId="5" fillId="5" borderId="3" xfId="2" applyFont="1" applyFill="1" applyBorder="1" applyAlignment="1">
      <alignment horizontal="center"/>
    </xf>
    <xf numFmtId="44" fontId="5" fillId="5" borderId="4" xfId="2" applyFont="1" applyFill="1" applyBorder="1" applyAlignment="1">
      <alignment horizontal="center"/>
    </xf>
    <xf numFmtId="44" fontId="5" fillId="0" borderId="4" xfId="0" applyNumberFormat="1" applyFont="1" applyBorder="1" applyAlignment="1">
      <alignment horizontal="center"/>
    </xf>
    <xf numFmtId="44" fontId="5" fillId="0" borderId="4" xfId="2" applyFont="1" applyFill="1" applyBorder="1" applyAlignment="1">
      <alignment horizontal="center"/>
    </xf>
    <xf numFmtId="44" fontId="5" fillId="5" borderId="4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3" fontId="2" fillId="5" borderId="5" xfId="1" applyFont="1" applyFill="1" applyBorder="1" applyAlignment="1">
      <alignment horizontal="center"/>
    </xf>
    <xf numFmtId="44" fontId="2" fillId="0" borderId="5" xfId="0" applyNumberFormat="1" applyFont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273050</xdr:colOff>
      <xdr:row>18</xdr:row>
      <xdr:rowOff>114300</xdr:rowOff>
    </xdr:from>
    <xdr:to>
      <xdr:col>9</xdr:col>
      <xdr:colOff>577850</xdr:colOff>
      <xdr:row>20</xdr:row>
      <xdr:rowOff>88900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96564A91-B2C4-40DD-9A0E-559D92FDAB9E}"/>
            </a:ext>
          </a:extLst>
        </xdr:cNvPr>
        <xdr:cNvSpPr/>
      </xdr:nvSpPr>
      <xdr:spPr>
        <a:xfrm>
          <a:off x="5759450" y="3581400"/>
          <a:ext cx="304800" cy="355600"/>
        </a:xfrm>
        <a:prstGeom prst="downArrow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220701</xdr:colOff>
      <xdr:row>18</xdr:row>
      <xdr:rowOff>103768</xdr:rowOff>
    </xdr:from>
    <xdr:to>
      <xdr:col>13</xdr:col>
      <xdr:colOff>525501</xdr:colOff>
      <xdr:row>20</xdr:row>
      <xdr:rowOff>78368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BDDCC1FF-8671-4D42-AE5B-60F62B22FB80}"/>
            </a:ext>
          </a:extLst>
        </xdr:cNvPr>
        <xdr:cNvSpPr/>
      </xdr:nvSpPr>
      <xdr:spPr>
        <a:xfrm>
          <a:off x="8735122" y="3495597"/>
          <a:ext cx="304800" cy="346308"/>
        </a:xfrm>
        <a:prstGeom prst="downArrow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1" topLeftCell="A4" zoomScale="70" zoomScaleNormal="85" workbookViewId="0">
      <selection activeCell="N57" sqref="N57"/>
    </sheetView>
  </sheetViews>
  <sheetFormatPr defaultRowHeight="27" x14ac:dyDescent="0.35"/>
  <cols>
    <col min="1" max="5" width="15.7109375" style="2" customWidth="1"/>
    <col min="6" max="6" width="27.42578125" style="2" customWidth="1"/>
    <col min="7" max="9" width="15.7109375" style="2" customWidth="1"/>
    <col min="10" max="10" width="19.5703125" style="2" customWidth="1"/>
    <col min="11" max="11" width="15.7109375" style="2" customWidth="1"/>
    <col min="12" max="12" width="27.42578125" style="2" customWidth="1"/>
    <col min="13" max="15" width="15.7109375" style="2" customWidth="1"/>
    <col min="16" max="16" width="19.7109375" style="2" customWidth="1"/>
    <col min="17" max="17" width="9.140625" style="2"/>
    <col min="18" max="18" width="37.5703125" style="2" customWidth="1"/>
    <col min="19" max="16384" width="9.140625" style="2"/>
  </cols>
  <sheetData>
    <row r="1" spans="1:18" x14ac:dyDescent="0.35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8" x14ac:dyDescent="0.35">
      <c r="A4" s="4" t="s">
        <v>62</v>
      </c>
      <c r="B4" s="4"/>
      <c r="C4" s="4"/>
      <c r="D4" s="4"/>
      <c r="E4" s="4"/>
      <c r="F4" s="4"/>
      <c r="G4" s="3"/>
      <c r="H4" s="4" t="s">
        <v>0</v>
      </c>
      <c r="I4" s="4"/>
      <c r="J4" s="4"/>
      <c r="K4" s="4"/>
      <c r="L4" s="4"/>
      <c r="M4" s="4"/>
      <c r="N4" s="4"/>
      <c r="O4" s="4"/>
      <c r="P4" s="4"/>
    </row>
    <row r="5" spans="1:18" x14ac:dyDescent="0.35">
      <c r="A5" s="5" t="s">
        <v>1</v>
      </c>
      <c r="B5" s="5"/>
      <c r="C5" s="5"/>
      <c r="D5" s="6" t="s">
        <v>71</v>
      </c>
      <c r="E5" s="6"/>
      <c r="F5" s="6"/>
      <c r="G5" s="3"/>
      <c r="H5" s="7" t="s">
        <v>72</v>
      </c>
      <c r="I5" s="7"/>
      <c r="J5" s="7"/>
      <c r="K5" s="7"/>
      <c r="L5" s="7"/>
      <c r="M5" s="8">
        <f>D9*40%*25%</f>
        <v>212000</v>
      </c>
      <c r="N5" s="8"/>
      <c r="O5" s="8"/>
      <c r="P5" s="8"/>
    </row>
    <row r="6" spans="1:18" x14ac:dyDescent="0.35">
      <c r="A6" s="9" t="s">
        <v>2</v>
      </c>
      <c r="B6" s="9"/>
      <c r="C6" s="9"/>
      <c r="D6" s="10" t="s">
        <v>70</v>
      </c>
      <c r="E6" s="10"/>
      <c r="F6" s="10"/>
      <c r="G6" s="3"/>
      <c r="H6" s="11" t="s">
        <v>73</v>
      </c>
      <c r="I6" s="11"/>
      <c r="J6" s="11"/>
      <c r="K6" s="11"/>
      <c r="L6" s="11"/>
      <c r="M6" s="12">
        <f>(D9-M5)*40%*25%</f>
        <v>190800</v>
      </c>
      <c r="N6" s="12"/>
      <c r="O6" s="12"/>
      <c r="P6" s="12"/>
    </row>
    <row r="7" spans="1:18" x14ac:dyDescent="0.35">
      <c r="A7" s="5" t="s">
        <v>3</v>
      </c>
      <c r="B7" s="5"/>
      <c r="C7" s="5"/>
      <c r="D7" s="13">
        <v>40</v>
      </c>
      <c r="E7" s="13"/>
      <c r="F7" s="13"/>
      <c r="G7" s="3"/>
      <c r="H7" s="7" t="s">
        <v>74</v>
      </c>
      <c r="I7" s="7"/>
      <c r="J7" s="7"/>
      <c r="K7" s="7"/>
      <c r="L7" s="7"/>
      <c r="M7" s="8">
        <f>(D9-M5-M6)*20%*25%</f>
        <v>85860</v>
      </c>
      <c r="N7" s="8"/>
      <c r="O7" s="8"/>
      <c r="P7" s="8"/>
      <c r="R7" s="14"/>
    </row>
    <row r="8" spans="1:18" ht="27.75" thickBot="1" x14ac:dyDescent="0.4">
      <c r="A8" s="15" t="s">
        <v>4</v>
      </c>
      <c r="B8" s="15"/>
      <c r="C8" s="15"/>
      <c r="D8" s="16">
        <v>53000</v>
      </c>
      <c r="E8" s="16"/>
      <c r="F8" s="16"/>
      <c r="G8" s="3"/>
      <c r="H8" s="17" t="s">
        <v>5</v>
      </c>
      <c r="I8" s="17"/>
      <c r="J8" s="17"/>
      <c r="K8" s="17"/>
      <c r="L8" s="17"/>
      <c r="M8" s="18">
        <f>SUM(M5:P7)</f>
        <v>488660</v>
      </c>
      <c r="N8" s="18"/>
      <c r="O8" s="18"/>
      <c r="P8" s="18"/>
    </row>
    <row r="9" spans="1:18" ht="27.75" thickTop="1" x14ac:dyDescent="0.35">
      <c r="A9" s="5" t="s">
        <v>6</v>
      </c>
      <c r="B9" s="5"/>
      <c r="C9" s="5"/>
      <c r="D9" s="19">
        <f>D7*D8</f>
        <v>2120000</v>
      </c>
      <c r="E9" s="19"/>
      <c r="F9" s="19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8" x14ac:dyDescent="0.35">
      <c r="A10" s="9" t="s">
        <v>66</v>
      </c>
      <c r="B10" s="9"/>
      <c r="C10" s="9"/>
      <c r="D10" s="20">
        <f>D9*8.9%</f>
        <v>188680.00000000003</v>
      </c>
      <c r="E10" s="20"/>
      <c r="F10" s="20"/>
      <c r="G10" s="3"/>
      <c r="H10" s="21" t="s">
        <v>61</v>
      </c>
      <c r="I10" s="21"/>
      <c r="J10" s="21"/>
      <c r="K10" s="21"/>
      <c r="L10" s="21"/>
      <c r="M10" s="21"/>
      <c r="N10" s="21"/>
      <c r="O10" s="21"/>
      <c r="P10" s="21"/>
    </row>
    <row r="11" spans="1:18" x14ac:dyDescent="0.35">
      <c r="A11" s="5" t="s">
        <v>7</v>
      </c>
      <c r="B11" s="5"/>
      <c r="C11" s="5"/>
      <c r="D11" s="22">
        <f>SUM(D9:D10)</f>
        <v>2308680</v>
      </c>
      <c r="E11" s="22"/>
      <c r="F11" s="22"/>
      <c r="G11" s="3"/>
      <c r="H11" s="23" t="s">
        <v>6</v>
      </c>
      <c r="I11" s="23"/>
      <c r="J11" s="23"/>
      <c r="K11" s="23"/>
      <c r="L11" s="23"/>
      <c r="M11" s="24">
        <f>D9</f>
        <v>2120000</v>
      </c>
      <c r="N11" s="24"/>
      <c r="O11" s="24"/>
      <c r="P11" s="24"/>
    </row>
    <row r="12" spans="1:18" ht="27.75" thickBot="1" x14ac:dyDescent="0.4">
      <c r="A12" s="25" t="s">
        <v>8</v>
      </c>
      <c r="B12" s="25"/>
      <c r="C12" s="25"/>
      <c r="D12" s="26">
        <v>21.6</v>
      </c>
      <c r="E12" s="26"/>
      <c r="F12" s="26"/>
      <c r="G12" s="3"/>
      <c r="H12" s="27" t="s">
        <v>0</v>
      </c>
      <c r="I12" s="27"/>
      <c r="J12" s="27"/>
      <c r="K12" s="27"/>
      <c r="L12" s="27"/>
      <c r="M12" s="28">
        <f>M8</f>
        <v>488660</v>
      </c>
      <c r="N12" s="28"/>
      <c r="O12" s="28"/>
      <c r="P12" s="28"/>
    </row>
    <row r="13" spans="1:18" ht="27.75" thickTop="1" x14ac:dyDescent="0.35">
      <c r="A13" s="3"/>
      <c r="B13" s="3"/>
      <c r="C13" s="3"/>
      <c r="D13" s="3"/>
      <c r="E13" s="3"/>
      <c r="F13" s="3"/>
      <c r="G13" s="3"/>
      <c r="H13" s="23" t="s">
        <v>59</v>
      </c>
      <c r="I13" s="23"/>
      <c r="J13" s="23"/>
      <c r="K13" s="23"/>
      <c r="L13" s="23"/>
      <c r="M13" s="29">
        <f>E25</f>
        <v>1198368</v>
      </c>
      <c r="N13" s="30"/>
      <c r="O13" s="30"/>
      <c r="P13" s="30"/>
    </row>
    <row r="14" spans="1:18" x14ac:dyDescent="0.35">
      <c r="A14" s="4" t="s">
        <v>9</v>
      </c>
      <c r="B14" s="4"/>
      <c r="C14" s="4"/>
      <c r="D14" s="4"/>
      <c r="E14" s="4"/>
      <c r="F14" s="4"/>
      <c r="G14" s="3"/>
      <c r="H14" s="5" t="s">
        <v>60</v>
      </c>
      <c r="I14" s="5"/>
      <c r="J14" s="5"/>
      <c r="K14" s="5"/>
      <c r="L14" s="5"/>
      <c r="M14" s="31">
        <f>SUM(M11-0)/M13</f>
        <v>1.7690726054100243</v>
      </c>
      <c r="N14" s="31"/>
      <c r="O14" s="31"/>
      <c r="P14" s="31"/>
    </row>
    <row r="15" spans="1:18" x14ac:dyDescent="0.35">
      <c r="A15" s="5" t="s">
        <v>10</v>
      </c>
      <c r="B15" s="5"/>
      <c r="C15" s="5"/>
      <c r="D15" s="5"/>
      <c r="E15" s="32">
        <f>1387*D7</f>
        <v>55480</v>
      </c>
      <c r="F15" s="32"/>
      <c r="G15" s="3"/>
      <c r="H15" s="33" t="s">
        <v>11</v>
      </c>
      <c r="I15" s="33"/>
      <c r="J15" s="33"/>
      <c r="K15" s="33"/>
      <c r="L15" s="33"/>
      <c r="M15" s="34">
        <v>0</v>
      </c>
      <c r="N15" s="34"/>
      <c r="O15" s="34"/>
      <c r="P15" s="34"/>
    </row>
    <row r="16" spans="1:18" x14ac:dyDescent="0.35">
      <c r="A16" s="9" t="s">
        <v>12</v>
      </c>
      <c r="B16" s="9"/>
      <c r="C16" s="9"/>
      <c r="D16" s="9"/>
      <c r="E16" s="32">
        <f>E15/12</f>
        <v>4623.333333333333</v>
      </c>
      <c r="F16" s="32"/>
      <c r="G16" s="3"/>
      <c r="H16" s="35" t="s">
        <v>13</v>
      </c>
      <c r="I16" s="35"/>
      <c r="J16" s="35"/>
      <c r="K16" s="35"/>
      <c r="L16" s="35"/>
      <c r="M16" s="36">
        <v>0</v>
      </c>
      <c r="N16" s="36"/>
      <c r="O16" s="36"/>
      <c r="P16" s="36"/>
    </row>
    <row r="17" spans="1:18" x14ac:dyDescent="0.35">
      <c r="A17" s="37" t="s">
        <v>14</v>
      </c>
      <c r="B17" s="37"/>
      <c r="C17" s="37"/>
      <c r="D17" s="37"/>
      <c r="E17" s="38" t="s">
        <v>64</v>
      </c>
      <c r="F17" s="38"/>
      <c r="G17" s="3"/>
      <c r="H17" s="35" t="s">
        <v>63</v>
      </c>
      <c r="I17" s="35"/>
      <c r="J17" s="35"/>
      <c r="K17" s="35"/>
      <c r="L17" s="35"/>
      <c r="M17" s="36">
        <f>D7*18000</f>
        <v>720000</v>
      </c>
      <c r="N17" s="36"/>
      <c r="O17" s="36"/>
      <c r="P17" s="36"/>
    </row>
    <row r="18" spans="1:18" x14ac:dyDescent="0.35">
      <c r="A18" s="3"/>
      <c r="B18" s="3"/>
      <c r="C18" s="3"/>
      <c r="D18" s="3"/>
      <c r="E18" s="3"/>
      <c r="F18" s="3"/>
      <c r="G18" s="3"/>
      <c r="H18" s="39"/>
      <c r="I18" s="39"/>
      <c r="J18" s="39"/>
      <c r="K18" s="39"/>
      <c r="L18" s="39"/>
      <c r="M18" s="39"/>
      <c r="N18" s="39"/>
      <c r="O18" s="39"/>
      <c r="P18" s="39"/>
    </row>
    <row r="19" spans="1:18" x14ac:dyDescent="0.35">
      <c r="A19" s="4" t="s">
        <v>15</v>
      </c>
      <c r="B19" s="4"/>
      <c r="C19" s="4"/>
      <c r="D19" s="4"/>
      <c r="E19" s="4"/>
      <c r="F19" s="4"/>
      <c r="G19" s="3"/>
      <c r="H19" s="40" t="s">
        <v>16</v>
      </c>
      <c r="I19" s="40"/>
      <c r="J19" s="40"/>
      <c r="K19" s="40"/>
      <c r="L19" s="40"/>
      <c r="M19" s="40"/>
      <c r="N19" s="40"/>
      <c r="O19" s="40"/>
      <c r="P19" s="40"/>
    </row>
    <row r="20" spans="1:18" x14ac:dyDescent="0.35">
      <c r="A20" s="5" t="s">
        <v>17</v>
      </c>
      <c r="B20" s="5"/>
      <c r="C20" s="5"/>
      <c r="D20" s="5"/>
      <c r="E20" s="8">
        <v>850</v>
      </c>
      <c r="F20" s="8"/>
      <c r="G20" s="3"/>
      <c r="H20" s="40"/>
      <c r="I20" s="40"/>
      <c r="J20" s="40"/>
      <c r="K20" s="40"/>
      <c r="L20" s="40"/>
      <c r="M20" s="40"/>
      <c r="N20" s="40"/>
      <c r="O20" s="40"/>
      <c r="P20" s="40"/>
    </row>
    <row r="21" spans="1:18" x14ac:dyDescent="0.35">
      <c r="A21" s="33" t="s">
        <v>18</v>
      </c>
      <c r="B21" s="33"/>
      <c r="C21" s="33"/>
      <c r="D21" s="33"/>
      <c r="E21" s="41">
        <f>E20*D7</f>
        <v>34000</v>
      </c>
      <c r="F21" s="42"/>
      <c r="G21" s="3"/>
      <c r="H21" s="40"/>
      <c r="I21" s="40"/>
      <c r="J21" s="40"/>
      <c r="K21" s="40"/>
      <c r="L21" s="40"/>
      <c r="M21" s="40"/>
      <c r="N21" s="40"/>
      <c r="O21" s="40"/>
      <c r="P21" s="40"/>
      <c r="R21" s="14"/>
    </row>
    <row r="22" spans="1:18" x14ac:dyDescent="0.35">
      <c r="A22" s="5" t="s">
        <v>19</v>
      </c>
      <c r="B22" s="5"/>
      <c r="C22" s="5"/>
      <c r="D22" s="5"/>
      <c r="E22" s="43">
        <v>0.03</v>
      </c>
      <c r="F22" s="43"/>
      <c r="G22" s="3"/>
      <c r="H22" s="44"/>
      <c r="I22" s="44"/>
      <c r="J22" s="44"/>
      <c r="K22" s="44"/>
      <c r="L22" s="44"/>
      <c r="M22" s="44"/>
      <c r="N22" s="44"/>
      <c r="O22" s="3"/>
      <c r="P22" s="3"/>
    </row>
    <row r="23" spans="1:18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P23" s="3"/>
    </row>
    <row r="24" spans="1:18" x14ac:dyDescent="0.35">
      <c r="A24" s="45" t="s">
        <v>20</v>
      </c>
      <c r="B24" s="45"/>
      <c r="C24" s="45" t="s">
        <v>21</v>
      </c>
      <c r="D24" s="45"/>
      <c r="E24" s="45" t="s">
        <v>22</v>
      </c>
      <c r="F24" s="45"/>
      <c r="G24" s="45" t="s">
        <v>23</v>
      </c>
      <c r="H24" s="45"/>
      <c r="I24" s="45" t="s">
        <v>15</v>
      </c>
      <c r="J24" s="45"/>
      <c r="K24" s="45" t="s">
        <v>67</v>
      </c>
      <c r="L24" s="45"/>
      <c r="M24" s="45" t="s">
        <v>24</v>
      </c>
      <c r="N24" s="45"/>
      <c r="O24" s="45" t="s">
        <v>25</v>
      </c>
      <c r="P24" s="45"/>
    </row>
    <row r="25" spans="1:18" x14ac:dyDescent="0.35">
      <c r="A25" s="46" t="s">
        <v>26</v>
      </c>
      <c r="B25" s="46"/>
      <c r="C25" s="47">
        <f>E15</f>
        <v>55480</v>
      </c>
      <c r="D25" s="48"/>
      <c r="E25" s="49">
        <f>C25*$D$12</f>
        <v>1198368</v>
      </c>
      <c r="F25" s="49"/>
      <c r="G25" s="8"/>
      <c r="H25" s="8"/>
      <c r="I25" s="50"/>
      <c r="J25" s="46"/>
      <c r="K25" s="51">
        <f>C25*1.96</f>
        <v>108740.8</v>
      </c>
      <c r="L25" s="48"/>
      <c r="M25" s="12">
        <f>M5</f>
        <v>212000</v>
      </c>
      <c r="N25" s="12"/>
      <c r="O25" s="51">
        <f t="shared" ref="O25:O30" si="0">E25-SUM(G25:J25)+SUM(K25:N25)</f>
        <v>1519108.8</v>
      </c>
      <c r="P25" s="48"/>
      <c r="R25" s="52"/>
    </row>
    <row r="26" spans="1:18" x14ac:dyDescent="0.35">
      <c r="A26" s="53" t="s">
        <v>27</v>
      </c>
      <c r="B26" s="53"/>
      <c r="C26" s="54">
        <f>C25*0.992</f>
        <v>55036.159999999996</v>
      </c>
      <c r="D26" s="54"/>
      <c r="E26" s="55">
        <f>C26*$D$12</f>
        <v>1188781.0560000001</v>
      </c>
      <c r="F26" s="55"/>
      <c r="G26" s="56"/>
      <c r="H26" s="56"/>
      <c r="I26" s="57">
        <f>E21</f>
        <v>34000</v>
      </c>
      <c r="J26" s="57"/>
      <c r="K26" s="51">
        <f t="shared" ref="K26:K35" si="1">C26*1.96</f>
        <v>107870.87359999999</v>
      </c>
      <c r="L26" s="48"/>
      <c r="M26" s="58">
        <f>M6</f>
        <v>190800</v>
      </c>
      <c r="N26" s="58"/>
      <c r="O26" s="51">
        <f t="shared" si="0"/>
        <v>1453451.9296000001</v>
      </c>
      <c r="P26" s="48"/>
    </row>
    <row r="27" spans="1:18" x14ac:dyDescent="0.35">
      <c r="A27" s="46" t="s">
        <v>28</v>
      </c>
      <c r="B27" s="46"/>
      <c r="C27" s="59">
        <f>C26*0.992</f>
        <v>54595.870719999999</v>
      </c>
      <c r="D27" s="59"/>
      <c r="E27" s="49">
        <f>C27*$D$12</f>
        <v>1179270.807552</v>
      </c>
      <c r="F27" s="49"/>
      <c r="G27" s="60"/>
      <c r="H27" s="60"/>
      <c r="I27" s="61">
        <f>(I26*$E$22)+I26</f>
        <v>35020</v>
      </c>
      <c r="J27" s="61"/>
      <c r="K27" s="51">
        <f t="shared" si="1"/>
        <v>107007.9066112</v>
      </c>
      <c r="L27" s="48"/>
      <c r="M27" s="62">
        <f>M7</f>
        <v>85860</v>
      </c>
      <c r="N27" s="62"/>
      <c r="O27" s="60">
        <f t="shared" si="0"/>
        <v>1337118.7141632</v>
      </c>
      <c r="P27" s="60"/>
    </row>
    <row r="28" spans="1:18" x14ac:dyDescent="0.35">
      <c r="A28" s="53" t="s">
        <v>29</v>
      </c>
      <c r="B28" s="53"/>
      <c r="C28" s="54">
        <f t="shared" ref="C28:C49" si="2">C27*0.992</f>
        <v>54159.103754240001</v>
      </c>
      <c r="D28" s="54"/>
      <c r="E28" s="55">
        <f>C28*$D$12</f>
        <v>1169836.641091584</v>
      </c>
      <c r="F28" s="55"/>
      <c r="G28" s="63"/>
      <c r="H28" s="63"/>
      <c r="I28" s="57">
        <f>(I27*$E$22)+I27</f>
        <v>36070.6</v>
      </c>
      <c r="J28" s="57"/>
      <c r="K28" s="51">
        <f t="shared" si="1"/>
        <v>106151.84335831041</v>
      </c>
      <c r="L28" s="48"/>
      <c r="M28" s="58">
        <v>0</v>
      </c>
      <c r="N28" s="58"/>
      <c r="O28" s="63">
        <f t="shared" si="0"/>
        <v>1239917.8844498943</v>
      </c>
      <c r="P28" s="63"/>
    </row>
    <row r="29" spans="1:18" x14ac:dyDescent="0.35">
      <c r="A29" s="46" t="s">
        <v>30</v>
      </c>
      <c r="B29" s="46"/>
      <c r="C29" s="59">
        <f t="shared" si="2"/>
        <v>53725.830924206079</v>
      </c>
      <c r="D29" s="59"/>
      <c r="E29" s="49">
        <f>C29*$D$12</f>
        <v>1160477.9479628513</v>
      </c>
      <c r="F29" s="49"/>
      <c r="G29" s="64"/>
      <c r="H29" s="64"/>
      <c r="I29" s="61">
        <f t="shared" ref="I29:I49" si="3">(I28*$E$22)+I28</f>
        <v>37152.718000000001</v>
      </c>
      <c r="J29" s="61"/>
      <c r="K29" s="51">
        <f t="shared" si="1"/>
        <v>105302.62861144391</v>
      </c>
      <c r="L29" s="48"/>
      <c r="M29" s="62">
        <v>0</v>
      </c>
      <c r="N29" s="62"/>
      <c r="O29" s="60">
        <f t="shared" si="0"/>
        <v>1228627.858574295</v>
      </c>
      <c r="P29" s="60"/>
    </row>
    <row r="30" spans="1:18" x14ac:dyDescent="0.35">
      <c r="A30" s="53" t="s">
        <v>31</v>
      </c>
      <c r="B30" s="53"/>
      <c r="C30" s="54">
        <f t="shared" si="2"/>
        <v>53296.02427681243</v>
      </c>
      <c r="D30" s="54"/>
      <c r="E30" s="55">
        <f t="shared" ref="E30:E49" si="4">C30*$D$12</f>
        <v>1151194.1243791485</v>
      </c>
      <c r="F30" s="55"/>
      <c r="G30" s="56">
        <f>$M$15*12*0</f>
        <v>0</v>
      </c>
      <c r="H30" s="56"/>
      <c r="I30" s="57">
        <f t="shared" si="3"/>
        <v>38267.29954</v>
      </c>
      <c r="J30" s="57"/>
      <c r="K30" s="51">
        <f t="shared" si="1"/>
        <v>104460.20758255236</v>
      </c>
      <c r="L30" s="48"/>
      <c r="M30" s="58">
        <v>0</v>
      </c>
      <c r="N30" s="58"/>
      <c r="O30" s="63">
        <f t="shared" si="0"/>
        <v>1217387.0324217009</v>
      </c>
      <c r="P30" s="63"/>
    </row>
    <row r="31" spans="1:18" x14ac:dyDescent="0.35">
      <c r="A31" s="46" t="s">
        <v>32</v>
      </c>
      <c r="B31" s="46"/>
      <c r="C31" s="59">
        <f t="shared" si="2"/>
        <v>52869.656082597932</v>
      </c>
      <c r="D31" s="59"/>
      <c r="E31" s="49">
        <f t="shared" si="4"/>
        <v>1141984.5713841154</v>
      </c>
      <c r="F31" s="49"/>
      <c r="G31" s="64">
        <f>$M$15*12*0</f>
        <v>0</v>
      </c>
      <c r="H31" s="64"/>
      <c r="I31" s="61">
        <f t="shared" si="3"/>
        <v>39415.318526199997</v>
      </c>
      <c r="J31" s="61"/>
      <c r="K31" s="51">
        <f t="shared" si="1"/>
        <v>103624.52592189194</v>
      </c>
      <c r="L31" s="48"/>
      <c r="M31" s="62">
        <v>0</v>
      </c>
      <c r="N31" s="62"/>
      <c r="O31" s="60">
        <f t="shared" ref="O31:O49" si="5">E31-SUM(G31:J31)+SUM(K31:N31)</f>
        <v>1206193.7787798073</v>
      </c>
      <c r="P31" s="60"/>
    </row>
    <row r="32" spans="1:18" x14ac:dyDescent="0.35">
      <c r="A32" s="53" t="s">
        <v>33</v>
      </c>
      <c r="B32" s="53"/>
      <c r="C32" s="54">
        <f t="shared" si="2"/>
        <v>52446.698833937146</v>
      </c>
      <c r="D32" s="54"/>
      <c r="E32" s="55">
        <f t="shared" si="4"/>
        <v>1132848.6948130424</v>
      </c>
      <c r="F32" s="55"/>
      <c r="G32" s="56">
        <f>$M$15*12*0</f>
        <v>0</v>
      </c>
      <c r="H32" s="56"/>
      <c r="I32" s="57">
        <f t="shared" si="3"/>
        <v>40597.778081985998</v>
      </c>
      <c r="J32" s="57"/>
      <c r="K32" s="51">
        <f t="shared" si="1"/>
        <v>102795.5297145168</v>
      </c>
      <c r="L32" s="48"/>
      <c r="M32" s="58">
        <v>0</v>
      </c>
      <c r="N32" s="58"/>
      <c r="O32" s="63">
        <f t="shared" si="5"/>
        <v>1195046.4464455734</v>
      </c>
      <c r="P32" s="63"/>
    </row>
    <row r="33" spans="1:16" x14ac:dyDescent="0.35">
      <c r="A33" s="46" t="s">
        <v>34</v>
      </c>
      <c r="B33" s="46"/>
      <c r="C33" s="59">
        <f t="shared" si="2"/>
        <v>52027.125243265647</v>
      </c>
      <c r="D33" s="59"/>
      <c r="E33" s="49">
        <f t="shared" si="4"/>
        <v>1123785.9052545382</v>
      </c>
      <c r="F33" s="49"/>
      <c r="G33" s="64">
        <f>$M$15*12*0</f>
        <v>0</v>
      </c>
      <c r="H33" s="64"/>
      <c r="I33" s="61">
        <f t="shared" si="3"/>
        <v>41815.711424445581</v>
      </c>
      <c r="J33" s="61"/>
      <c r="K33" s="51">
        <f t="shared" si="1"/>
        <v>101973.16547680067</v>
      </c>
      <c r="L33" s="48"/>
      <c r="M33" s="62">
        <v>0</v>
      </c>
      <c r="N33" s="62"/>
      <c r="O33" s="60">
        <f>E33-SUM(G33:J33)+SUM(K33:N33)</f>
        <v>1183943.3593068933</v>
      </c>
      <c r="P33" s="60"/>
    </row>
    <row r="34" spans="1:16" x14ac:dyDescent="0.35">
      <c r="A34" s="53" t="s">
        <v>35</v>
      </c>
      <c r="B34" s="53"/>
      <c r="C34" s="54">
        <f t="shared" si="2"/>
        <v>51610.908241319521</v>
      </c>
      <c r="D34" s="54"/>
      <c r="E34" s="55">
        <f t="shared" si="4"/>
        <v>1114795.6180125016</v>
      </c>
      <c r="F34" s="55"/>
      <c r="G34" s="56">
        <f>$M$15*12*0</f>
        <v>0</v>
      </c>
      <c r="H34" s="56"/>
      <c r="I34" s="57">
        <f t="shared" si="3"/>
        <v>43070.182767178951</v>
      </c>
      <c r="J34" s="57"/>
      <c r="K34" s="51">
        <f t="shared" si="1"/>
        <v>101157.38015298625</v>
      </c>
      <c r="L34" s="48"/>
      <c r="M34" s="58">
        <v>0</v>
      </c>
      <c r="N34" s="58"/>
      <c r="O34" s="63">
        <f t="shared" si="5"/>
        <v>1172882.8153983089</v>
      </c>
      <c r="P34" s="63"/>
    </row>
    <row r="35" spans="1:16" x14ac:dyDescent="0.35">
      <c r="A35" s="46" t="s">
        <v>36</v>
      </c>
      <c r="B35" s="46"/>
      <c r="C35" s="59">
        <f t="shared" si="2"/>
        <v>51198.020975388965</v>
      </c>
      <c r="D35" s="59"/>
      <c r="E35" s="49">
        <f t="shared" si="4"/>
        <v>1105877.2530684017</v>
      </c>
      <c r="F35" s="49"/>
      <c r="G35" s="64">
        <f t="shared" ref="G35:G49" si="6">$I$82*12*0</f>
        <v>0</v>
      </c>
      <c r="H35" s="64"/>
      <c r="I35" s="61">
        <f t="shared" si="3"/>
        <v>44362.288250194317</v>
      </c>
      <c r="J35" s="61"/>
      <c r="K35" s="51">
        <f t="shared" si="1"/>
        <v>100348.12111176238</v>
      </c>
      <c r="L35" s="48"/>
      <c r="M35" s="62">
        <v>0</v>
      </c>
      <c r="N35" s="62"/>
      <c r="O35" s="60">
        <f t="shared" si="5"/>
        <v>1161863.0859299698</v>
      </c>
      <c r="P35" s="60"/>
    </row>
    <row r="36" spans="1:16" x14ac:dyDescent="0.35">
      <c r="A36" s="53" t="s">
        <v>37</v>
      </c>
      <c r="B36" s="53"/>
      <c r="C36" s="54">
        <f t="shared" si="2"/>
        <v>50788.436807585851</v>
      </c>
      <c r="D36" s="54"/>
      <c r="E36" s="55">
        <f t="shared" si="4"/>
        <v>1097030.2350438545</v>
      </c>
      <c r="F36" s="55"/>
      <c r="G36" s="56">
        <f t="shared" si="6"/>
        <v>0</v>
      </c>
      <c r="H36" s="56"/>
      <c r="I36" s="57">
        <f t="shared" si="3"/>
        <v>45693.156897700144</v>
      </c>
      <c r="J36" s="57"/>
      <c r="K36" s="51">
        <f t="shared" ref="K36:K50" si="7">C36*1.96</f>
        <v>99545.336142868269</v>
      </c>
      <c r="L36" s="48"/>
      <c r="M36" s="58">
        <f t="shared" ref="M36:M49" si="8">$I$82*12*0</f>
        <v>0</v>
      </c>
      <c r="N36" s="58"/>
      <c r="O36" s="63">
        <f t="shared" si="5"/>
        <v>1150882.4142890226</v>
      </c>
      <c r="P36" s="63"/>
    </row>
    <row r="37" spans="1:16" x14ac:dyDescent="0.35">
      <c r="A37" s="46" t="s">
        <v>38</v>
      </c>
      <c r="B37" s="46"/>
      <c r="C37" s="59">
        <f t="shared" si="2"/>
        <v>50382.129313125166</v>
      </c>
      <c r="D37" s="59"/>
      <c r="E37" s="49">
        <f t="shared" si="4"/>
        <v>1088253.9931635037</v>
      </c>
      <c r="F37" s="49"/>
      <c r="G37" s="64">
        <f t="shared" si="6"/>
        <v>0</v>
      </c>
      <c r="H37" s="64"/>
      <c r="I37" s="61">
        <f t="shared" si="3"/>
        <v>47063.951604631147</v>
      </c>
      <c r="J37" s="61"/>
      <c r="K37" s="51">
        <f t="shared" si="7"/>
        <v>98748.973453725324</v>
      </c>
      <c r="L37" s="48"/>
      <c r="M37" s="62">
        <f t="shared" si="8"/>
        <v>0</v>
      </c>
      <c r="N37" s="62"/>
      <c r="O37" s="60">
        <f t="shared" si="5"/>
        <v>1139939.0150125979</v>
      </c>
      <c r="P37" s="60"/>
    </row>
    <row r="38" spans="1:16" x14ac:dyDescent="0.35">
      <c r="A38" s="53" t="s">
        <v>39</v>
      </c>
      <c r="B38" s="53"/>
      <c r="C38" s="54">
        <f t="shared" si="2"/>
        <v>49979.072278620166</v>
      </c>
      <c r="D38" s="54"/>
      <c r="E38" s="55">
        <f t="shared" si="4"/>
        <v>1079547.9612181957</v>
      </c>
      <c r="F38" s="55"/>
      <c r="G38" s="56">
        <f t="shared" si="6"/>
        <v>0</v>
      </c>
      <c r="H38" s="56"/>
      <c r="I38" s="57">
        <f t="shared" si="3"/>
        <v>48475.870152770083</v>
      </c>
      <c r="J38" s="57"/>
      <c r="K38" s="51">
        <f t="shared" si="7"/>
        <v>97958.981666095526</v>
      </c>
      <c r="L38" s="48"/>
      <c r="M38" s="58">
        <f t="shared" si="8"/>
        <v>0</v>
      </c>
      <c r="N38" s="58"/>
      <c r="O38" s="63">
        <f t="shared" si="5"/>
        <v>1129031.0727315212</v>
      </c>
      <c r="P38" s="63"/>
    </row>
    <row r="39" spans="1:16" x14ac:dyDescent="0.35">
      <c r="A39" s="46" t="s">
        <v>40</v>
      </c>
      <c r="B39" s="46"/>
      <c r="C39" s="59">
        <f t="shared" si="2"/>
        <v>49579.239700391205</v>
      </c>
      <c r="D39" s="59"/>
      <c r="E39" s="49">
        <f t="shared" si="4"/>
        <v>1070911.5775284502</v>
      </c>
      <c r="F39" s="49"/>
      <c r="G39" s="64">
        <f t="shared" si="6"/>
        <v>0</v>
      </c>
      <c r="H39" s="64"/>
      <c r="I39" s="61">
        <f t="shared" si="3"/>
        <v>49930.146257353183</v>
      </c>
      <c r="J39" s="61"/>
      <c r="K39" s="51">
        <f t="shared" si="7"/>
        <v>97175.309812766762</v>
      </c>
      <c r="L39" s="48"/>
      <c r="M39" s="62">
        <f t="shared" si="8"/>
        <v>0</v>
      </c>
      <c r="N39" s="62"/>
      <c r="O39" s="60">
        <f t="shared" si="5"/>
        <v>1118156.7410838639</v>
      </c>
      <c r="P39" s="60"/>
    </row>
    <row r="40" spans="1:16" x14ac:dyDescent="0.35">
      <c r="A40" s="53" t="s">
        <v>41</v>
      </c>
      <c r="B40" s="53"/>
      <c r="C40" s="54">
        <f t="shared" si="2"/>
        <v>49182.605782788072</v>
      </c>
      <c r="D40" s="54"/>
      <c r="E40" s="55">
        <f t="shared" si="4"/>
        <v>1062344.2849082225</v>
      </c>
      <c r="F40" s="55"/>
      <c r="G40" s="56">
        <f t="shared" si="6"/>
        <v>0</v>
      </c>
      <c r="H40" s="56"/>
      <c r="I40" s="57">
        <f t="shared" si="3"/>
        <v>51428.050645073781</v>
      </c>
      <c r="J40" s="57"/>
      <c r="K40" s="51">
        <f t="shared" si="7"/>
        <v>96397.907334264615</v>
      </c>
      <c r="L40" s="48"/>
      <c r="M40" s="58">
        <f t="shared" si="8"/>
        <v>0</v>
      </c>
      <c r="N40" s="58"/>
      <c r="O40" s="63">
        <f t="shared" si="5"/>
        <v>1107314.1415974135</v>
      </c>
      <c r="P40" s="63"/>
    </row>
    <row r="41" spans="1:16" x14ac:dyDescent="0.35">
      <c r="A41" s="46" t="s">
        <v>42</v>
      </c>
      <c r="B41" s="46"/>
      <c r="C41" s="59">
        <f t="shared" si="2"/>
        <v>48789.144936525765</v>
      </c>
      <c r="D41" s="59"/>
      <c r="E41" s="49">
        <f t="shared" si="4"/>
        <v>1053845.5306289566</v>
      </c>
      <c r="F41" s="49"/>
      <c r="G41" s="64">
        <f t="shared" si="6"/>
        <v>0</v>
      </c>
      <c r="H41" s="64"/>
      <c r="I41" s="61">
        <f t="shared" si="3"/>
        <v>52970.892164425997</v>
      </c>
      <c r="J41" s="61"/>
      <c r="K41" s="51">
        <f t="shared" si="7"/>
        <v>95626.724075590493</v>
      </c>
      <c r="L41" s="48"/>
      <c r="M41" s="62">
        <f t="shared" si="8"/>
        <v>0</v>
      </c>
      <c r="N41" s="62"/>
      <c r="O41" s="60">
        <f t="shared" si="5"/>
        <v>1096501.3625401212</v>
      </c>
      <c r="P41" s="60"/>
    </row>
    <row r="42" spans="1:16" x14ac:dyDescent="0.35">
      <c r="A42" s="53" t="s">
        <v>43</v>
      </c>
      <c r="B42" s="53"/>
      <c r="C42" s="54">
        <f t="shared" si="2"/>
        <v>48398.831777033556</v>
      </c>
      <c r="D42" s="54"/>
      <c r="E42" s="55">
        <f t="shared" si="4"/>
        <v>1045414.7663839249</v>
      </c>
      <c r="F42" s="55"/>
      <c r="G42" s="56">
        <f t="shared" si="6"/>
        <v>0</v>
      </c>
      <c r="H42" s="56"/>
      <c r="I42" s="57">
        <f t="shared" si="3"/>
        <v>54560.018929358775</v>
      </c>
      <c r="J42" s="57"/>
      <c r="K42" s="51">
        <f t="shared" si="7"/>
        <v>94861.710282985761</v>
      </c>
      <c r="L42" s="48"/>
      <c r="M42" s="58">
        <f t="shared" si="8"/>
        <v>0</v>
      </c>
      <c r="N42" s="58"/>
      <c r="O42" s="63">
        <f t="shared" si="5"/>
        <v>1085716.4577375518</v>
      </c>
      <c r="P42" s="63"/>
    </row>
    <row r="43" spans="1:16" x14ac:dyDescent="0.35">
      <c r="A43" s="46" t="s">
        <v>44</v>
      </c>
      <c r="B43" s="46"/>
      <c r="C43" s="59">
        <f t="shared" si="2"/>
        <v>48011.641122817287</v>
      </c>
      <c r="D43" s="59"/>
      <c r="E43" s="49">
        <f t="shared" si="4"/>
        <v>1037051.4482528535</v>
      </c>
      <c r="F43" s="49"/>
      <c r="G43" s="64">
        <f t="shared" si="6"/>
        <v>0</v>
      </c>
      <c r="H43" s="64"/>
      <c r="I43" s="61">
        <f t="shared" si="3"/>
        <v>56196.819497239536</v>
      </c>
      <c r="J43" s="61"/>
      <c r="K43" s="51">
        <f t="shared" si="7"/>
        <v>94102.816600721882</v>
      </c>
      <c r="L43" s="48"/>
      <c r="M43" s="62">
        <f t="shared" si="8"/>
        <v>0</v>
      </c>
      <c r="N43" s="62"/>
      <c r="O43" s="60">
        <f t="shared" si="5"/>
        <v>1074957.4453563357</v>
      </c>
      <c r="P43" s="60"/>
    </row>
    <row r="44" spans="1:16" x14ac:dyDescent="0.35">
      <c r="A44" s="53" t="s">
        <v>45</v>
      </c>
      <c r="B44" s="53"/>
      <c r="C44" s="54">
        <f t="shared" si="2"/>
        <v>47627.547993834749</v>
      </c>
      <c r="D44" s="54"/>
      <c r="E44" s="55">
        <f t="shared" si="4"/>
        <v>1028755.0366668307</v>
      </c>
      <c r="F44" s="55"/>
      <c r="G44" s="56">
        <f t="shared" si="6"/>
        <v>0</v>
      </c>
      <c r="H44" s="56"/>
      <c r="I44" s="57">
        <f t="shared" si="3"/>
        <v>57882.724082156725</v>
      </c>
      <c r="J44" s="57"/>
      <c r="K44" s="51">
        <f t="shared" si="7"/>
        <v>93349.994067916108</v>
      </c>
      <c r="L44" s="48"/>
      <c r="M44" s="58">
        <f t="shared" si="8"/>
        <v>0</v>
      </c>
      <c r="N44" s="58"/>
      <c r="O44" s="63">
        <f t="shared" si="5"/>
        <v>1064222.3066525902</v>
      </c>
      <c r="P44" s="63"/>
    </row>
    <row r="45" spans="1:16" x14ac:dyDescent="0.35">
      <c r="A45" s="46" t="s">
        <v>46</v>
      </c>
      <c r="B45" s="46"/>
      <c r="C45" s="59">
        <f t="shared" si="2"/>
        <v>47246.52760988407</v>
      </c>
      <c r="D45" s="59"/>
      <c r="E45" s="49">
        <f t="shared" si="4"/>
        <v>1020524.996373496</v>
      </c>
      <c r="F45" s="49"/>
      <c r="G45" s="64">
        <f t="shared" si="6"/>
        <v>0</v>
      </c>
      <c r="H45" s="64"/>
      <c r="I45" s="61">
        <f t="shared" si="3"/>
        <v>59619.20580462143</v>
      </c>
      <c r="J45" s="61"/>
      <c r="K45" s="51">
        <f t="shared" si="7"/>
        <v>92603.194115372768</v>
      </c>
      <c r="L45" s="48"/>
      <c r="M45" s="62">
        <f t="shared" si="8"/>
        <v>0</v>
      </c>
      <c r="N45" s="62"/>
      <c r="O45" s="60">
        <f t="shared" si="5"/>
        <v>1053508.9846842473</v>
      </c>
      <c r="P45" s="60"/>
    </row>
    <row r="46" spans="1:16" x14ac:dyDescent="0.35">
      <c r="A46" s="53" t="s">
        <v>47</v>
      </c>
      <c r="B46" s="53"/>
      <c r="C46" s="54">
        <f t="shared" si="2"/>
        <v>46868.555389005</v>
      </c>
      <c r="D46" s="54"/>
      <c r="E46" s="55">
        <f t="shared" si="4"/>
        <v>1012360.796402508</v>
      </c>
      <c r="F46" s="55"/>
      <c r="G46" s="56">
        <f t="shared" si="6"/>
        <v>0</v>
      </c>
      <c r="H46" s="56"/>
      <c r="I46" s="57">
        <f t="shared" si="3"/>
        <v>61407.781978760075</v>
      </c>
      <c r="J46" s="57"/>
      <c r="K46" s="51">
        <f t="shared" si="7"/>
        <v>91862.368562449803</v>
      </c>
      <c r="L46" s="48"/>
      <c r="M46" s="58">
        <f t="shared" si="8"/>
        <v>0</v>
      </c>
      <c r="N46" s="58"/>
      <c r="O46" s="63">
        <f t="shared" si="5"/>
        <v>1042815.3829861978</v>
      </c>
      <c r="P46" s="63"/>
    </row>
    <row r="47" spans="1:16" x14ac:dyDescent="0.35">
      <c r="A47" s="46" t="s">
        <v>48</v>
      </c>
      <c r="B47" s="46"/>
      <c r="C47" s="59">
        <f t="shared" si="2"/>
        <v>46493.606945892956</v>
      </c>
      <c r="D47" s="59"/>
      <c r="E47" s="49">
        <f t="shared" si="4"/>
        <v>1004261.9100312879</v>
      </c>
      <c r="F47" s="49"/>
      <c r="G47" s="64">
        <f t="shared" si="6"/>
        <v>0</v>
      </c>
      <c r="H47" s="64"/>
      <c r="I47" s="61">
        <f t="shared" si="3"/>
        <v>63250.015438122879</v>
      </c>
      <c r="J47" s="61"/>
      <c r="K47" s="51">
        <f t="shared" si="7"/>
        <v>91127.46961395019</v>
      </c>
      <c r="L47" s="48"/>
      <c r="M47" s="62">
        <f t="shared" si="8"/>
        <v>0</v>
      </c>
      <c r="N47" s="62"/>
      <c r="O47" s="60">
        <f t="shared" si="5"/>
        <v>1032139.3642071153</v>
      </c>
      <c r="P47" s="60"/>
    </row>
    <row r="48" spans="1:16" x14ac:dyDescent="0.35">
      <c r="A48" s="53" t="s">
        <v>49</v>
      </c>
      <c r="B48" s="53"/>
      <c r="C48" s="54">
        <f t="shared" si="2"/>
        <v>46121.658090325815</v>
      </c>
      <c r="D48" s="54"/>
      <c r="E48" s="55">
        <f t="shared" si="4"/>
        <v>996227.81475103763</v>
      </c>
      <c r="F48" s="55"/>
      <c r="G48" s="56">
        <f t="shared" si="6"/>
        <v>0</v>
      </c>
      <c r="H48" s="56"/>
      <c r="I48" s="57">
        <f t="shared" si="3"/>
        <v>65147.515901266568</v>
      </c>
      <c r="J48" s="57"/>
      <c r="K48" s="51">
        <f t="shared" si="7"/>
        <v>90398.449857038591</v>
      </c>
      <c r="L48" s="48"/>
      <c r="M48" s="58">
        <f t="shared" si="8"/>
        <v>0</v>
      </c>
      <c r="N48" s="58"/>
      <c r="O48" s="63">
        <f t="shared" si="5"/>
        <v>1021478.7487068096</v>
      </c>
      <c r="P48" s="63"/>
    </row>
    <row r="49" spans="1:16" x14ac:dyDescent="0.35">
      <c r="A49" s="53" t="s">
        <v>50</v>
      </c>
      <c r="B49" s="53"/>
      <c r="C49" s="54">
        <f t="shared" si="2"/>
        <v>45752.68482560321</v>
      </c>
      <c r="D49" s="54"/>
      <c r="E49" s="49">
        <f t="shared" si="4"/>
        <v>988257.99223302945</v>
      </c>
      <c r="F49" s="49"/>
      <c r="G49" s="65">
        <f t="shared" si="6"/>
        <v>0</v>
      </c>
      <c r="H49" s="65"/>
      <c r="I49" s="66">
        <f t="shared" si="3"/>
        <v>67101.94137830456</v>
      </c>
      <c r="J49" s="66"/>
      <c r="K49" s="51">
        <f t="shared" si="7"/>
        <v>89675.262258182294</v>
      </c>
      <c r="L49" s="48"/>
      <c r="M49" s="67">
        <f t="shared" si="8"/>
        <v>0</v>
      </c>
      <c r="N49" s="67"/>
      <c r="O49" s="68">
        <f t="shared" si="5"/>
        <v>1010831.3131129071</v>
      </c>
      <c r="P49" s="68"/>
    </row>
    <row r="50" spans="1:16" ht="27.75" thickBot="1" x14ac:dyDescent="0.4">
      <c r="A50" s="69" t="s">
        <v>51</v>
      </c>
      <c r="B50" s="69"/>
      <c r="C50" s="70">
        <f t="shared" ref="C50" si="9">SUM(C25:D49)</f>
        <v>1261667.0816252003</v>
      </c>
      <c r="D50" s="70"/>
      <c r="E50" s="71">
        <f>SUM(E25:F49)</f>
        <v>27252008.96310433</v>
      </c>
      <c r="F50" s="71"/>
      <c r="G50" s="72">
        <f t="shared" ref="G50" si="10">SUM(G25:H49)</f>
        <v>0</v>
      </c>
      <c r="H50" s="72"/>
      <c r="I50" s="71">
        <f>SUM(I25:J49)</f>
        <v>1170499.9873217898</v>
      </c>
      <c r="J50" s="71"/>
      <c r="K50" s="51">
        <f t="shared" si="7"/>
        <v>2472867.4799853927</v>
      </c>
      <c r="L50" s="48"/>
      <c r="M50" s="71">
        <f>SUM(M25:N49)</f>
        <v>488660</v>
      </c>
      <c r="N50" s="71"/>
      <c r="O50" s="72">
        <f>E50-G50+K50+M50+D35-I50</f>
        <v>29043036.455767933</v>
      </c>
      <c r="P50" s="72"/>
    </row>
    <row r="51" spans="1:16" ht="27.75" thickTop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6" x14ac:dyDescent="0.35">
      <c r="A52" s="3"/>
      <c r="B52" s="3"/>
      <c r="C52" s="73" t="s">
        <v>75</v>
      </c>
      <c r="D52" s="33"/>
      <c r="E52" s="33"/>
      <c r="F52" s="33"/>
      <c r="G52" s="33"/>
      <c r="H52" s="33"/>
      <c r="I52" s="33"/>
      <c r="J52" s="33"/>
      <c r="K52" s="3"/>
      <c r="L52" s="3"/>
      <c r="M52" s="3"/>
      <c r="N52" s="3"/>
    </row>
    <row r="53" spans="1:16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6" x14ac:dyDescent="0.35">
      <c r="A54" s="3"/>
      <c r="B54" s="74" t="s">
        <v>52</v>
      </c>
      <c r="C54" s="75" t="s">
        <v>53</v>
      </c>
      <c r="D54" s="75"/>
      <c r="E54" s="75"/>
      <c r="F54" s="75"/>
      <c r="G54" s="75"/>
      <c r="H54" s="75"/>
      <c r="I54" s="75"/>
      <c r="J54" s="75"/>
      <c r="K54" s="75"/>
      <c r="L54" s="75"/>
      <c r="M54" s="3"/>
      <c r="N54" s="3"/>
    </row>
    <row r="55" spans="1:16" x14ac:dyDescent="0.35">
      <c r="A55" s="3"/>
      <c r="B55" s="74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3"/>
      <c r="N55" s="3"/>
    </row>
    <row r="56" spans="1:16" x14ac:dyDescent="0.35">
      <c r="A56" s="3"/>
      <c r="B56" s="74" t="s">
        <v>52</v>
      </c>
      <c r="C56" s="23" t="s">
        <v>65</v>
      </c>
      <c r="D56" s="23"/>
      <c r="E56" s="23"/>
      <c r="F56" s="23"/>
      <c r="G56" s="23"/>
      <c r="H56" s="23"/>
      <c r="I56" s="23"/>
      <c r="J56" s="23"/>
      <c r="K56" s="23"/>
      <c r="L56" s="23"/>
      <c r="M56" s="3"/>
      <c r="N56" s="3"/>
    </row>
    <row r="57" spans="1:16" x14ac:dyDescent="0.35">
      <c r="A57" s="3"/>
      <c r="B57" s="74" t="s">
        <v>52</v>
      </c>
      <c r="C57" s="23" t="s">
        <v>54</v>
      </c>
      <c r="D57" s="23"/>
      <c r="E57" s="23"/>
      <c r="F57" s="23"/>
      <c r="G57" s="23"/>
      <c r="H57" s="23"/>
      <c r="I57" s="23"/>
      <c r="J57" s="23"/>
      <c r="K57" s="23"/>
      <c r="L57" s="23"/>
      <c r="M57" s="3"/>
      <c r="N57" s="3"/>
    </row>
    <row r="58" spans="1:16" x14ac:dyDescent="0.35">
      <c r="A58" s="3"/>
      <c r="B58" s="74" t="s">
        <v>52</v>
      </c>
      <c r="C58" s="76" t="s">
        <v>55</v>
      </c>
      <c r="D58" s="76"/>
      <c r="E58" s="76"/>
      <c r="F58" s="76"/>
      <c r="G58" s="76"/>
      <c r="H58" s="76"/>
      <c r="I58" s="76"/>
      <c r="J58" s="76"/>
      <c r="K58" s="76"/>
      <c r="L58" s="76"/>
      <c r="M58" s="3"/>
      <c r="N58" s="3"/>
    </row>
    <row r="59" spans="1:16" x14ac:dyDescent="0.35">
      <c r="A59" s="3"/>
      <c r="B59" s="74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3"/>
      <c r="N59" s="3"/>
    </row>
    <row r="60" spans="1:16" x14ac:dyDescent="0.35">
      <c r="A60" s="3"/>
      <c r="B60" s="74" t="s">
        <v>52</v>
      </c>
      <c r="C60" s="33" t="s">
        <v>56</v>
      </c>
      <c r="D60" s="33"/>
      <c r="E60" s="33"/>
      <c r="F60" s="33"/>
      <c r="G60" s="33"/>
      <c r="H60" s="33"/>
      <c r="I60" s="33"/>
      <c r="J60" s="33"/>
      <c r="K60" s="33"/>
      <c r="L60" s="33"/>
      <c r="M60" s="3"/>
      <c r="N60" s="3"/>
    </row>
    <row r="61" spans="1:16" x14ac:dyDescent="0.35">
      <c r="A61" s="3"/>
      <c r="B61" s="74" t="s">
        <v>52</v>
      </c>
      <c r="C61" s="75" t="s">
        <v>57</v>
      </c>
      <c r="D61" s="75"/>
      <c r="E61" s="75"/>
      <c r="F61" s="75"/>
      <c r="G61" s="75"/>
      <c r="H61" s="75"/>
      <c r="I61" s="75"/>
      <c r="J61" s="75"/>
      <c r="K61" s="75"/>
      <c r="L61" s="75"/>
      <c r="M61" s="3"/>
      <c r="N61" s="3"/>
    </row>
    <row r="78" spans="6:8" x14ac:dyDescent="0.35">
      <c r="F78" s="2" t="s">
        <v>69</v>
      </c>
      <c r="H78" s="2">
        <v>6283</v>
      </c>
    </row>
    <row r="79" spans="6:8" x14ac:dyDescent="0.35">
      <c r="F79" s="2" t="s">
        <v>68</v>
      </c>
      <c r="H79" s="2">
        <v>16.8</v>
      </c>
    </row>
    <row r="82" spans="6:6" x14ac:dyDescent="0.35">
      <c r="F82" s="2">
        <v>35113</v>
      </c>
    </row>
  </sheetData>
  <mergeCells count="280">
    <mergeCell ref="A6:C6"/>
    <mergeCell ref="D6:F6"/>
    <mergeCell ref="H6:L6"/>
    <mergeCell ref="M6:P6"/>
    <mergeCell ref="A7:C7"/>
    <mergeCell ref="D7:F7"/>
    <mergeCell ref="H7:L7"/>
    <mergeCell ref="M7:P7"/>
    <mergeCell ref="A1:P2"/>
    <mergeCell ref="A4:F4"/>
    <mergeCell ref="H4:P4"/>
    <mergeCell ref="A5:C5"/>
    <mergeCell ref="D5:F5"/>
    <mergeCell ref="H5:L5"/>
    <mergeCell ref="M5:P5"/>
    <mergeCell ref="A10:C10"/>
    <mergeCell ref="D10:F10"/>
    <mergeCell ref="H10:P10"/>
    <mergeCell ref="A11:C11"/>
    <mergeCell ref="D11:F11"/>
    <mergeCell ref="M11:P11"/>
    <mergeCell ref="A8:C8"/>
    <mergeCell ref="D8:F8"/>
    <mergeCell ref="H8:L8"/>
    <mergeCell ref="M8:P8"/>
    <mergeCell ref="A9:C9"/>
    <mergeCell ref="D9:F9"/>
    <mergeCell ref="A14:F14"/>
    <mergeCell ref="H14:L14"/>
    <mergeCell ref="M14:P14"/>
    <mergeCell ref="A15:D15"/>
    <mergeCell ref="E15:F15"/>
    <mergeCell ref="H15:L15"/>
    <mergeCell ref="M15:P15"/>
    <mergeCell ref="A12:C12"/>
    <mergeCell ref="D12:F12"/>
    <mergeCell ref="M12:P12"/>
    <mergeCell ref="H13:L13"/>
    <mergeCell ref="M13:P13"/>
    <mergeCell ref="M24:N24"/>
    <mergeCell ref="O24:P24"/>
    <mergeCell ref="A25:B25"/>
    <mergeCell ref="C25:D25"/>
    <mergeCell ref="E25:F25"/>
    <mergeCell ref="G25:H25"/>
    <mergeCell ref="I25:J25"/>
    <mergeCell ref="K25:L25"/>
    <mergeCell ref="A22:D22"/>
    <mergeCell ref="E22:F22"/>
    <mergeCell ref="A24:B24"/>
    <mergeCell ref="C24:D24"/>
    <mergeCell ref="E24:F24"/>
    <mergeCell ref="G24:H24"/>
    <mergeCell ref="M25:N25"/>
    <mergeCell ref="O25:P25"/>
    <mergeCell ref="A26:B26"/>
    <mergeCell ref="C26:D26"/>
    <mergeCell ref="E26:F26"/>
    <mergeCell ref="G26:H26"/>
    <mergeCell ref="I26:J26"/>
    <mergeCell ref="K26:L26"/>
    <mergeCell ref="M26:N26"/>
    <mergeCell ref="O26:P26"/>
    <mergeCell ref="M27:N27"/>
    <mergeCell ref="O27:P27"/>
    <mergeCell ref="A28:B28"/>
    <mergeCell ref="C28:D28"/>
    <mergeCell ref="E28:F28"/>
    <mergeCell ref="G28:H28"/>
    <mergeCell ref="I28:J28"/>
    <mergeCell ref="K28:L28"/>
    <mergeCell ref="M28:N28"/>
    <mergeCell ref="O28:P28"/>
    <mergeCell ref="A27:B27"/>
    <mergeCell ref="C27:D27"/>
    <mergeCell ref="E27:F27"/>
    <mergeCell ref="G27:H27"/>
    <mergeCell ref="I27:J27"/>
    <mergeCell ref="K27:L27"/>
    <mergeCell ref="M29:N29"/>
    <mergeCell ref="O29:P29"/>
    <mergeCell ref="A30:B30"/>
    <mergeCell ref="C30:D30"/>
    <mergeCell ref="E30:F30"/>
    <mergeCell ref="G30:H30"/>
    <mergeCell ref="I30:J30"/>
    <mergeCell ref="K30:L30"/>
    <mergeCell ref="M30:N30"/>
    <mergeCell ref="O30:P30"/>
    <mergeCell ref="A29:B29"/>
    <mergeCell ref="C29:D29"/>
    <mergeCell ref="E29:F29"/>
    <mergeCell ref="G29:H29"/>
    <mergeCell ref="I29:J29"/>
    <mergeCell ref="K29:L29"/>
    <mergeCell ref="M31:N31"/>
    <mergeCell ref="O31:P31"/>
    <mergeCell ref="A32:B32"/>
    <mergeCell ref="C32:D32"/>
    <mergeCell ref="E32:F32"/>
    <mergeCell ref="G32:H32"/>
    <mergeCell ref="I32:J32"/>
    <mergeCell ref="K32:L32"/>
    <mergeCell ref="M32:N32"/>
    <mergeCell ref="O32:P32"/>
    <mergeCell ref="A31:B31"/>
    <mergeCell ref="C31:D31"/>
    <mergeCell ref="E31:F31"/>
    <mergeCell ref="G31:H31"/>
    <mergeCell ref="I31:J31"/>
    <mergeCell ref="K31:L31"/>
    <mergeCell ref="M33:N33"/>
    <mergeCell ref="O33:P33"/>
    <mergeCell ref="A34:B34"/>
    <mergeCell ref="C34:D34"/>
    <mergeCell ref="E34:F34"/>
    <mergeCell ref="G34:H34"/>
    <mergeCell ref="I34:J34"/>
    <mergeCell ref="K34:L34"/>
    <mergeCell ref="M34:N34"/>
    <mergeCell ref="O34:P34"/>
    <mergeCell ref="A33:B33"/>
    <mergeCell ref="C33:D33"/>
    <mergeCell ref="E33:F33"/>
    <mergeCell ref="G33:H33"/>
    <mergeCell ref="I33:J33"/>
    <mergeCell ref="K33:L33"/>
    <mergeCell ref="M35:N35"/>
    <mergeCell ref="O35:P35"/>
    <mergeCell ref="A36:B36"/>
    <mergeCell ref="C36:D36"/>
    <mergeCell ref="E36:F36"/>
    <mergeCell ref="G36:H36"/>
    <mergeCell ref="I36:J36"/>
    <mergeCell ref="K36:L36"/>
    <mergeCell ref="M36:N36"/>
    <mergeCell ref="O36:P36"/>
    <mergeCell ref="A35:B35"/>
    <mergeCell ref="C35:D35"/>
    <mergeCell ref="E35:F35"/>
    <mergeCell ref="G35:H35"/>
    <mergeCell ref="I35:J35"/>
    <mergeCell ref="K35:L35"/>
    <mergeCell ref="M37:N37"/>
    <mergeCell ref="O37:P37"/>
    <mergeCell ref="A38:B38"/>
    <mergeCell ref="C38:D38"/>
    <mergeCell ref="E38:F38"/>
    <mergeCell ref="G38:H38"/>
    <mergeCell ref="I38:J38"/>
    <mergeCell ref="K38:L38"/>
    <mergeCell ref="M38:N38"/>
    <mergeCell ref="O38:P38"/>
    <mergeCell ref="A37:B37"/>
    <mergeCell ref="C37:D37"/>
    <mergeCell ref="E37:F37"/>
    <mergeCell ref="G37:H37"/>
    <mergeCell ref="I37:J37"/>
    <mergeCell ref="K37:L37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41:N41"/>
    <mergeCell ref="O41:P41"/>
    <mergeCell ref="A42:B42"/>
    <mergeCell ref="C42:D42"/>
    <mergeCell ref="E42:F42"/>
    <mergeCell ref="G42:H42"/>
    <mergeCell ref="I42:J42"/>
    <mergeCell ref="K42:L42"/>
    <mergeCell ref="M42:N42"/>
    <mergeCell ref="O42:P42"/>
    <mergeCell ref="A41:B41"/>
    <mergeCell ref="C41:D41"/>
    <mergeCell ref="E41:F41"/>
    <mergeCell ref="G41:H41"/>
    <mergeCell ref="I41:J41"/>
    <mergeCell ref="K41:L41"/>
    <mergeCell ref="M43:N43"/>
    <mergeCell ref="O43:P43"/>
    <mergeCell ref="A44:B44"/>
    <mergeCell ref="C44:D44"/>
    <mergeCell ref="E44:F44"/>
    <mergeCell ref="G44:H44"/>
    <mergeCell ref="I44:J44"/>
    <mergeCell ref="K44:L44"/>
    <mergeCell ref="M44:N44"/>
    <mergeCell ref="O44:P44"/>
    <mergeCell ref="A43:B43"/>
    <mergeCell ref="C43:D43"/>
    <mergeCell ref="E43:F43"/>
    <mergeCell ref="G43:H43"/>
    <mergeCell ref="I43:J43"/>
    <mergeCell ref="K43:L43"/>
    <mergeCell ref="M45:N45"/>
    <mergeCell ref="O45:P45"/>
    <mergeCell ref="A46:B46"/>
    <mergeCell ref="C46:D46"/>
    <mergeCell ref="E46:F46"/>
    <mergeCell ref="G46:H46"/>
    <mergeCell ref="I46:J46"/>
    <mergeCell ref="K46:L46"/>
    <mergeCell ref="M46:N46"/>
    <mergeCell ref="O46:P46"/>
    <mergeCell ref="A45:B45"/>
    <mergeCell ref="C45:D45"/>
    <mergeCell ref="E45:F45"/>
    <mergeCell ref="G45:H45"/>
    <mergeCell ref="I45:J45"/>
    <mergeCell ref="K45:L45"/>
    <mergeCell ref="K48:L48"/>
    <mergeCell ref="M48:N48"/>
    <mergeCell ref="O48:P48"/>
    <mergeCell ref="A47:B47"/>
    <mergeCell ref="C47:D47"/>
    <mergeCell ref="E47:F47"/>
    <mergeCell ref="G47:H47"/>
    <mergeCell ref="I47:J47"/>
    <mergeCell ref="K47:L47"/>
    <mergeCell ref="E17:F17"/>
    <mergeCell ref="M49:N49"/>
    <mergeCell ref="O49:P49"/>
    <mergeCell ref="A50:B50"/>
    <mergeCell ref="C50:D50"/>
    <mergeCell ref="E50:F50"/>
    <mergeCell ref="G50:H50"/>
    <mergeCell ref="I50:J50"/>
    <mergeCell ref="K50:L50"/>
    <mergeCell ref="M50:N50"/>
    <mergeCell ref="O50:P50"/>
    <mergeCell ref="A49:B49"/>
    <mergeCell ref="C49:D49"/>
    <mergeCell ref="E49:F49"/>
    <mergeCell ref="G49:H49"/>
    <mergeCell ref="I49:J49"/>
    <mergeCell ref="K49:L49"/>
    <mergeCell ref="M47:N47"/>
    <mergeCell ref="O47:P47"/>
    <mergeCell ref="A48:B48"/>
    <mergeCell ref="C48:D48"/>
    <mergeCell ref="E48:F48"/>
    <mergeCell ref="G48:H48"/>
    <mergeCell ref="I48:J48"/>
    <mergeCell ref="H17:L17"/>
    <mergeCell ref="M17:P17"/>
    <mergeCell ref="C61:L61"/>
    <mergeCell ref="H11:L11"/>
    <mergeCell ref="H12:L12"/>
    <mergeCell ref="C52:J52"/>
    <mergeCell ref="C54:L55"/>
    <mergeCell ref="C56:L56"/>
    <mergeCell ref="C57:L57"/>
    <mergeCell ref="C58:L59"/>
    <mergeCell ref="C60:L60"/>
    <mergeCell ref="I24:J24"/>
    <mergeCell ref="K24:L24"/>
    <mergeCell ref="A19:F19"/>
    <mergeCell ref="H19:P21"/>
    <mergeCell ref="A20:D20"/>
    <mergeCell ref="E20:F20"/>
    <mergeCell ref="A21:D21"/>
    <mergeCell ref="E21:F21"/>
    <mergeCell ref="A16:D16"/>
    <mergeCell ref="E16:F16"/>
    <mergeCell ref="H16:L16"/>
    <mergeCell ref="M16:P16"/>
    <mergeCell ref="A17:D17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String Inverter ROI Sheet</vt:lpstr>
      <vt:lpstr>'String Inverter ROI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Kotak</dc:creator>
  <cp:lastModifiedBy>Soryouth RE</cp:lastModifiedBy>
  <cp:lastPrinted>2025-10-16T11:32:13Z</cp:lastPrinted>
  <dcterms:created xsi:type="dcterms:W3CDTF">2023-02-15T05:06:29Z</dcterms:created>
  <dcterms:modified xsi:type="dcterms:W3CDTF">2026-07-20T09:55:50Z</dcterms:modified>
</cp:coreProperties>
</file>